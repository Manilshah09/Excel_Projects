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per\Downloads\"/>
    </mc:Choice>
  </mc:AlternateContent>
  <xr:revisionPtr revIDLastSave="0" documentId="13_ncr:1_{CD8D64E2-02C5-4372-B593-863F28239C4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tudents" sheetId="1" r:id="rId1"/>
    <sheet name="Products_Sales" sheetId="2" r:id="rId2"/>
    <sheet name="Employees" sheetId="3" r:id="rId3"/>
    <sheet name="Monthly_Sales" sheetId="4" r:id="rId4"/>
    <sheet name="Formula_Practice" sheetId="5" r:id="rId5"/>
    <sheet name="Project_Gui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4" l="1"/>
  <c r="J19" i="2"/>
  <c r="J18" i="2"/>
  <c r="J17" i="2"/>
  <c r="F3" i="3"/>
  <c r="F4" i="3"/>
  <c r="F5" i="3"/>
  <c r="F6" i="3"/>
  <c r="F7" i="3"/>
  <c r="F8" i="3"/>
  <c r="F9" i="3"/>
  <c r="F10" i="3"/>
  <c r="F11" i="3"/>
  <c r="F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5"/>
  <c r="H4" i="5"/>
  <c r="H5" i="5"/>
  <c r="H6" i="5"/>
  <c r="H7" i="5"/>
  <c r="H8" i="5"/>
  <c r="H9" i="5"/>
  <c r="H10" i="5"/>
  <c r="H11" i="5"/>
  <c r="H2" i="5"/>
  <c r="G3" i="5"/>
  <c r="G4" i="5"/>
  <c r="G5" i="5"/>
  <c r="G6" i="5"/>
  <c r="G7" i="5"/>
  <c r="G8" i="5"/>
  <c r="G9" i="5"/>
  <c r="G10" i="5"/>
  <c r="G11" i="5"/>
  <c r="G2" i="5"/>
  <c r="F3" i="5"/>
  <c r="F4" i="5"/>
  <c r="F5" i="5"/>
  <c r="F6" i="5"/>
  <c r="F7" i="5"/>
  <c r="F8" i="5"/>
  <c r="F9" i="5"/>
  <c r="F10" i="5"/>
  <c r="F11" i="5"/>
  <c r="F2" i="5"/>
  <c r="J4" i="4"/>
  <c r="J14" i="2"/>
  <c r="H3" i="3"/>
  <c r="N12" i="1"/>
  <c r="J8" i="2"/>
  <c r="M2" i="1"/>
  <c r="H2" i="2"/>
  <c r="L2" i="1"/>
  <c r="G2" i="2"/>
  <c r="G4" i="2"/>
  <c r="G5" i="2"/>
  <c r="G6" i="2"/>
  <c r="G7" i="2"/>
  <c r="G8" i="2"/>
  <c r="G9" i="2"/>
  <c r="G10" i="2"/>
  <c r="G11" i="2"/>
  <c r="G3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8" i="1"/>
  <c r="J9" i="1"/>
  <c r="J10" i="1"/>
  <c r="J11" i="1"/>
  <c r="G3" i="1"/>
  <c r="J3" i="1" s="1"/>
  <c r="G4" i="1"/>
  <c r="J4" i="1" s="1"/>
  <c r="G5" i="1"/>
  <c r="J5" i="1" s="1"/>
  <c r="G6" i="1"/>
  <c r="J6" i="1" s="1"/>
  <c r="G7" i="1"/>
  <c r="J7" i="1" s="1"/>
  <c r="G8" i="1"/>
  <c r="G9" i="1"/>
  <c r="G10" i="1"/>
  <c r="G11" i="1"/>
  <c r="G12" i="1"/>
  <c r="J12" i="1" s="1"/>
  <c r="G13" i="1"/>
  <c r="J13" i="1" s="1"/>
  <c r="G14" i="1"/>
  <c r="J14" i="1" s="1"/>
  <c r="G15" i="1"/>
  <c r="J15" i="1" s="1"/>
  <c r="G16" i="1"/>
  <c r="J16" i="1" s="1"/>
  <c r="G2" i="1"/>
  <c r="J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K3" i="5" a="1"/>
  <c r="O2" i="1" l="1" a="1"/>
  <c r="O2" i="1" s="1"/>
  <c r="K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<sst xmlns="http://schemas.openxmlformats.org/spreadsheetml/2006/main" count="235" uniqueCount="178">
  <si>
    <t>Student ID</t>
  </si>
  <si>
    <t>Student Name</t>
  </si>
  <si>
    <t>Math</t>
  </si>
  <si>
    <t>Science</t>
  </si>
  <si>
    <t>English</t>
  </si>
  <si>
    <t>Date of Birth</t>
  </si>
  <si>
    <t>Aarav Shah</t>
  </si>
  <si>
    <t>Diya Patel</t>
  </si>
  <si>
    <t>Rohan Mehta</t>
  </si>
  <si>
    <t>Anaya Desai</t>
  </si>
  <si>
    <t>Kabir Joshi</t>
  </si>
  <si>
    <t>Ishita Shah</t>
  </si>
  <si>
    <t>Vivaan Patel</t>
  </si>
  <si>
    <t>Meera Mehta</t>
  </si>
  <si>
    <t>Arjun Desai</t>
  </si>
  <si>
    <t>Riya Joshi</t>
  </si>
  <si>
    <t>Dev Shah</t>
  </si>
  <si>
    <t>Kiara Patel</t>
  </si>
  <si>
    <t>Aditya Mehta</t>
  </si>
  <si>
    <t>Sara Desai</t>
  </si>
  <si>
    <t>Neil Joshi</t>
  </si>
  <si>
    <t>Product Code</t>
  </si>
  <si>
    <t>Product</t>
  </si>
  <si>
    <t>Region</t>
  </si>
  <si>
    <t>Price</t>
  </si>
  <si>
    <t>Units Sold</t>
  </si>
  <si>
    <t>Total Sales</t>
  </si>
  <si>
    <t>P001</t>
  </si>
  <si>
    <t>Laptop</t>
  </si>
  <si>
    <t>North</t>
  </si>
  <si>
    <t>P002</t>
  </si>
  <si>
    <t>Monitor</t>
  </si>
  <si>
    <t>West</t>
  </si>
  <si>
    <t>P003</t>
  </si>
  <si>
    <t>Keyboard</t>
  </si>
  <si>
    <t>South</t>
  </si>
  <si>
    <t>P004</t>
  </si>
  <si>
    <t>Mouse</t>
  </si>
  <si>
    <t>East</t>
  </si>
  <si>
    <t>P005</t>
  </si>
  <si>
    <t>Printer</t>
  </si>
  <si>
    <t>P006</t>
  </si>
  <si>
    <t>Headset</t>
  </si>
  <si>
    <t>P007</t>
  </si>
  <si>
    <t>Webcam</t>
  </si>
  <si>
    <t>P008</t>
  </si>
  <si>
    <t>Tablet</t>
  </si>
  <si>
    <t>P009</t>
  </si>
  <si>
    <t>SSD</t>
  </si>
  <si>
    <t>P010</t>
  </si>
  <si>
    <t>Router</t>
  </si>
  <si>
    <t>Employee ID</t>
  </si>
  <si>
    <t>Employee Name</t>
  </si>
  <si>
    <t>Department</t>
  </si>
  <si>
    <t>Salary</t>
  </si>
  <si>
    <t>Date of Joining</t>
  </si>
  <si>
    <t>E001</t>
  </si>
  <si>
    <t>Amit Sharma</t>
  </si>
  <si>
    <t>Sales</t>
  </si>
  <si>
    <t>E002</t>
  </si>
  <si>
    <t>Neha Patel</t>
  </si>
  <si>
    <t>HR</t>
  </si>
  <si>
    <t>E003</t>
  </si>
  <si>
    <t>Rahul Mehta</t>
  </si>
  <si>
    <t>E004</t>
  </si>
  <si>
    <t>Pooja Shah</t>
  </si>
  <si>
    <t>IT</t>
  </si>
  <si>
    <t>E005</t>
  </si>
  <si>
    <t>Karan Desai</t>
  </si>
  <si>
    <t>Finance</t>
  </si>
  <si>
    <t>E006</t>
  </si>
  <si>
    <t>Sneha Joshi</t>
  </si>
  <si>
    <t>E007</t>
  </si>
  <si>
    <t>Yash Patel</t>
  </si>
  <si>
    <t>E008</t>
  </si>
  <si>
    <t>Maya Mehta</t>
  </si>
  <si>
    <t>E009</t>
  </si>
  <si>
    <t>Raj Desai</t>
  </si>
  <si>
    <t>E010</t>
  </si>
  <si>
    <t>Tina Shah</t>
  </si>
  <si>
    <t>Salesperson</t>
  </si>
  <si>
    <t>January</t>
  </si>
  <si>
    <t>February</t>
  </si>
  <si>
    <t>March</t>
  </si>
  <si>
    <t>April</t>
  </si>
  <si>
    <t>May</t>
  </si>
  <si>
    <t>June</t>
  </si>
  <si>
    <t>Amit</t>
  </si>
  <si>
    <t>Neha</t>
  </si>
  <si>
    <t>Rahul</t>
  </si>
  <si>
    <t>Pooja</t>
  </si>
  <si>
    <t>Karan</t>
  </si>
  <si>
    <t>Sneha</t>
  </si>
  <si>
    <t>Yash</t>
  </si>
  <si>
    <t>Maya</t>
  </si>
  <si>
    <t>Raj</t>
  </si>
  <si>
    <t>Tina</t>
  </si>
  <si>
    <t>Score</t>
  </si>
  <si>
    <t>Product Price</t>
  </si>
  <si>
    <t>Discount %</t>
  </si>
  <si>
    <t>Full Name</t>
  </si>
  <si>
    <t>Task</t>
  </si>
  <si>
    <t>Use this sheet</t>
  </si>
  <si>
    <t>Practice objective</t>
  </si>
  <si>
    <t>IF / Nested IF</t>
  </si>
  <si>
    <t>Students / Formula_Practice</t>
  </si>
  <si>
    <t>Classify grades and apply price discounts</t>
  </si>
  <si>
    <t>IF + AND/OR</t>
  </si>
  <si>
    <t>Students / Products_Sales</t>
  </si>
  <si>
    <t>Check score conditions and discount eligibility</t>
  </si>
  <si>
    <t>COUNTIFS</t>
  </si>
  <si>
    <t>Students</t>
  </si>
  <si>
    <t>Count students scoring above a threshold</t>
  </si>
  <si>
    <t>SUMIFS</t>
  </si>
  <si>
    <t>Products_Sales</t>
  </si>
  <si>
    <t>Sum sales by region/product</t>
  </si>
  <si>
    <t>AVERAGEIFS</t>
  </si>
  <si>
    <t>Average scores above a threshold</t>
  </si>
  <si>
    <t>VLOOKUP</t>
  </si>
  <si>
    <t>Look up names/prices using IDs or codes</t>
  </si>
  <si>
    <t>XLOOKUP</t>
  </si>
  <si>
    <t>Employees</t>
  </si>
  <si>
    <t>Dynamically retrieve employee salary</t>
  </si>
  <si>
    <t>XMATCH</t>
  </si>
  <si>
    <t>Find product position in a list</t>
  </si>
  <si>
    <t>INDEX/MATCH</t>
  </si>
  <si>
    <t>Monthly_Sales</t>
  </si>
  <si>
    <t>Find a salesperson's sales for a selected month</t>
  </si>
  <si>
    <t>TEXT Functions</t>
  </si>
  <si>
    <t>Formula_Practice</t>
  </si>
  <si>
    <t>Extract first names and change case</t>
  </si>
  <si>
    <t>INDIRECT</t>
  </si>
  <si>
    <t>Create dynamic cell/range references</t>
  </si>
  <si>
    <t>OFFSET</t>
  </si>
  <si>
    <t>Create dynamic ranges for sales trends</t>
  </si>
  <si>
    <t>Date/Time</t>
  </si>
  <si>
    <t>Students / Employees</t>
  </si>
  <si>
    <t>Calculate age and date differences</t>
  </si>
  <si>
    <t>Math Functions</t>
  </si>
  <si>
    <t>Apply ROUND, CEILING and FLOOR</t>
  </si>
  <si>
    <t>FILTER</t>
  </si>
  <si>
    <t>Extract top-performing students</t>
  </si>
  <si>
    <t>Total</t>
  </si>
  <si>
    <t>Average</t>
  </si>
  <si>
    <t>Grade</t>
  </si>
  <si>
    <t>MATHS &amp; SCI &gt; 80</t>
  </si>
  <si>
    <t>DISCOUNT ELIGIBILITY</t>
  </si>
  <si>
    <t>MATHS &gt; 50</t>
  </si>
  <si>
    <t>SUM IFS PRACTICE</t>
  </si>
  <si>
    <t>Average  if above 60 in Maths</t>
  </si>
  <si>
    <t>v lookup Practice</t>
  </si>
  <si>
    <t>V LOOKUP PRACTICE</t>
  </si>
  <si>
    <t>X LOOKUP PRACTICE</t>
  </si>
  <si>
    <t>Employee Salary</t>
  </si>
  <si>
    <t>X MATCH PRACTICE</t>
  </si>
  <si>
    <t>Product to Find</t>
  </si>
  <si>
    <t>POSITION</t>
  </si>
  <si>
    <t>INDEX MATCH Practice</t>
  </si>
  <si>
    <t>Month</t>
  </si>
  <si>
    <t>MAY</t>
  </si>
  <si>
    <t>First Name</t>
  </si>
  <si>
    <t>Uppercase Name</t>
  </si>
  <si>
    <t>LowerCase Name</t>
  </si>
  <si>
    <t>INDIRECT Practice</t>
  </si>
  <si>
    <t>Cell Reference</t>
  </si>
  <si>
    <t>Value</t>
  </si>
  <si>
    <t>B2</t>
  </si>
  <si>
    <t>OFFSET PRACTICE</t>
  </si>
  <si>
    <t>Starting Cell</t>
  </si>
  <si>
    <t>Dynamic Value</t>
  </si>
  <si>
    <t>Age</t>
  </si>
  <si>
    <t>Days Since Joining</t>
  </si>
  <si>
    <t>ROUND Practice</t>
  </si>
  <si>
    <t>Rounded Price</t>
  </si>
  <si>
    <t>Ceiling Price</t>
  </si>
  <si>
    <t>Floor Price</t>
  </si>
  <si>
    <t>STUDENTS WHOSE AVERAGE IS ABOVE 80</t>
  </si>
  <si>
    <t>Sheet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</si>
</sst>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₹&quot;\ #,##0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2" fontId="0" fillId="0" borderId="0" xfId="0" applyNumberFormat="1"/>
    <xf numFmtId="14" fontId="0" fillId="0" borderId="0" xfId="0" applyNumberFormat="1"/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" fontId="3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3" fillId="0" borderId="2" xfId="0" applyNumberFormat="1" applyFont="1" applyFill="1" applyBorder="1" applyAlignment="1">
      <alignment horizontal="center" vertical="top"/>
    </xf>
    <xf numFmtId="1" fontId="3" fillId="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4" fillId="0" borderId="0" xfId="0" applyFont="1"/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top"/>
    </xf>
    <xf numFmtId="164" fontId="3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zoomScale="85" zoomScaleNormal="85" workbookViewId="0">
      <selection activeCell="O11" sqref="O11"/>
    </sheetView>
  </sheetViews>
  <sheetFormatPr defaultRowHeight="14.4"/>
  <cols>
    <col min="1" max="1" width="10.44140625" bestFit="1" customWidth="1"/>
    <col min="2" max="2" width="14" bestFit="1" customWidth="1"/>
    <col min="3" max="3" width="5.77734375" style="10" bestFit="1" customWidth="1"/>
    <col min="4" max="4" width="7.5546875" style="10" bestFit="1" customWidth="1"/>
    <col min="5" max="5" width="7.21875" style="10" bestFit="1" customWidth="1"/>
    <col min="6" max="6" width="6.6640625" style="10" bestFit="1" customWidth="1"/>
    <col min="7" max="7" width="8.21875" bestFit="1" customWidth="1"/>
    <col min="8" max="8" width="12.44140625" style="7" bestFit="1" customWidth="1"/>
    <col min="9" max="9" width="12.44140625" style="25" customWidth="1"/>
    <col min="11" max="11" width="16.88671875" bestFit="1" customWidth="1"/>
    <col min="12" max="12" width="11.6640625" bestFit="1" customWidth="1"/>
    <col min="13" max="13" width="28" style="8" bestFit="1" customWidth="1"/>
    <col min="14" max="14" width="12.44140625" bestFit="1" customWidth="1"/>
    <col min="15" max="15" width="38.5546875" bestFit="1" customWidth="1"/>
    <col min="16" max="16" width="12.44140625" bestFit="1" customWidth="1"/>
    <col min="17" max="23" width="8.77734375" customWidth="1"/>
  </cols>
  <sheetData>
    <row r="1" spans="1:23">
      <c r="A1" s="2" t="s">
        <v>0</v>
      </c>
      <c r="B1" s="2" t="s">
        <v>1</v>
      </c>
      <c r="C1" s="9" t="s">
        <v>2</v>
      </c>
      <c r="D1" s="9" t="s">
        <v>3</v>
      </c>
      <c r="E1" s="9" t="s">
        <v>4</v>
      </c>
      <c r="F1" s="9" t="s">
        <v>142</v>
      </c>
      <c r="G1" s="2" t="s">
        <v>143</v>
      </c>
      <c r="H1" s="5" t="s">
        <v>5</v>
      </c>
      <c r="I1" s="25" t="s">
        <v>170</v>
      </c>
      <c r="J1" s="12" t="s">
        <v>144</v>
      </c>
      <c r="K1" s="11" t="s">
        <v>145</v>
      </c>
      <c r="L1" s="15" t="s">
        <v>147</v>
      </c>
      <c r="M1" s="27" t="s">
        <v>149</v>
      </c>
      <c r="O1" s="27" t="s">
        <v>176</v>
      </c>
    </row>
    <row r="2" spans="1:23">
      <c r="A2">
        <v>1001</v>
      </c>
      <c r="B2" t="s">
        <v>6</v>
      </c>
      <c r="C2" s="10">
        <v>78</v>
      </c>
      <c r="D2" s="10">
        <v>82</v>
      </c>
      <c r="E2" s="10">
        <v>74</v>
      </c>
      <c r="F2" s="10">
        <f>SUM(C2:E2)</f>
        <v>234</v>
      </c>
      <c r="G2">
        <f>AVERAGE(C2:E2)</f>
        <v>78</v>
      </c>
      <c r="H2" s="6">
        <v>39155</v>
      </c>
      <c r="I2" s="25">
        <f ca="1">DATEDIF(H2,TODAY(),"Y")</f>
        <v>19</v>
      </c>
      <c r="J2" s="7" t="str">
        <f>IF(G2&gt;=90,"A",IF(G2&gt;=80,"B",IF(G2&gt;=70,"C",IF(G2&gt;=60,"D",IF(G2&lt;60,"FAIL")))))</f>
        <v>C</v>
      </c>
      <c r="K2" s="7" t="str">
        <f>IF(AND(C2&gt;80,D2&gt;80),"YES","NO")</f>
        <v>NO</v>
      </c>
      <c r="L2">
        <f>COUNTIFS(C2:C16,"&gt;50")</f>
        <v>14</v>
      </c>
      <c r="M2" s="16">
        <f>AVERAGEIFS(C2:C16,C2:C16,"&gt;60")</f>
        <v>79</v>
      </c>
      <c r="O2" cm="1">
        <f t="array" aca="1" ref="O2:W7" ca="1">_xlfn._xlws.FILTER(A2:I16,G2:G16&gt;80)</f>
        <v>1003</v>
      </c>
      <c r="P2" t="str">
        <f ca="1"/>
        <v>Rohan Mehta</v>
      </c>
      <c r="Q2">
        <f ca="1"/>
        <v>92</v>
      </c>
      <c r="R2">
        <f ca="1"/>
        <v>94</v>
      </c>
      <c r="S2">
        <f ca="1"/>
        <v>89</v>
      </c>
      <c r="T2">
        <f ca="1"/>
        <v>275</v>
      </c>
      <c r="U2">
        <f ca="1"/>
        <v>91.666666666666671</v>
      </c>
      <c r="V2">
        <f ca="1"/>
        <v>39268</v>
      </c>
      <c r="W2">
        <f ca="1"/>
        <v>19</v>
      </c>
    </row>
    <row r="3" spans="1:23">
      <c r="A3">
        <v>1002</v>
      </c>
      <c r="B3" t="s">
        <v>7</v>
      </c>
      <c r="C3" s="10">
        <v>64</v>
      </c>
      <c r="D3" s="10">
        <v>71</v>
      </c>
      <c r="E3" s="10">
        <v>68</v>
      </c>
      <c r="F3" s="10">
        <f t="shared" ref="F3:F16" si="0">SUM(C3:E3)</f>
        <v>203</v>
      </c>
      <c r="G3" s="3">
        <f t="shared" ref="G3:G16" si="1">AVERAGE(C3:E3)</f>
        <v>67.666666666666671</v>
      </c>
      <c r="H3" s="6">
        <v>39043</v>
      </c>
      <c r="I3" s="25">
        <f t="shared" ref="I3:I16" ca="1" si="2">DATEDIF(H3,TODAY(),"Y")</f>
        <v>19</v>
      </c>
      <c r="J3" s="7" t="str">
        <f t="shared" ref="J3:J16" si="3">IF(G3&gt;=90,"A",IF(G3&gt;=80,"B",IF(G3&gt;=70,"C",IF(G3&gt;=60,"D",IF(G3&lt;60,"FAIL")))))</f>
        <v>D</v>
      </c>
      <c r="K3" s="7" t="str">
        <f t="shared" ref="K3:K16" si="4">IF(AND(C3&gt;80,D3&gt;80),"YES","NO")</f>
        <v>NO</v>
      </c>
      <c r="O3">
        <f ca="1"/>
        <v>1005</v>
      </c>
      <c r="P3" t="str">
        <f ca="1"/>
        <v>Kabir Joshi</v>
      </c>
      <c r="Q3">
        <f ca="1"/>
        <v>81</v>
      </c>
      <c r="R3">
        <f ca="1"/>
        <v>79</v>
      </c>
      <c r="S3">
        <f ca="1"/>
        <v>86</v>
      </c>
      <c r="T3">
        <f ca="1"/>
        <v>246</v>
      </c>
      <c r="U3">
        <f ca="1"/>
        <v>82</v>
      </c>
      <c r="V3">
        <f ca="1"/>
        <v>39112</v>
      </c>
      <c r="W3">
        <f ca="1"/>
        <v>19</v>
      </c>
    </row>
    <row r="4" spans="1:23">
      <c r="A4">
        <v>1003</v>
      </c>
      <c r="B4" t="s">
        <v>8</v>
      </c>
      <c r="C4" s="10">
        <v>92</v>
      </c>
      <c r="D4" s="10">
        <v>94</v>
      </c>
      <c r="E4" s="10">
        <v>89</v>
      </c>
      <c r="F4" s="10">
        <f t="shared" si="0"/>
        <v>275</v>
      </c>
      <c r="G4" s="3">
        <f t="shared" si="1"/>
        <v>91.666666666666671</v>
      </c>
      <c r="H4" s="6">
        <v>39268</v>
      </c>
      <c r="I4" s="25">
        <f t="shared" ca="1" si="2"/>
        <v>19</v>
      </c>
      <c r="J4" s="7" t="str">
        <f t="shared" si="3"/>
        <v>A</v>
      </c>
      <c r="K4" s="7" t="str">
        <f t="shared" si="4"/>
        <v>YES</v>
      </c>
      <c r="O4">
        <f ca="1"/>
        <v>1008</v>
      </c>
      <c r="P4" t="str">
        <f ca="1"/>
        <v>Meera Mehta</v>
      </c>
      <c r="Q4">
        <f ca="1"/>
        <v>88</v>
      </c>
      <c r="R4">
        <f ca="1"/>
        <v>91</v>
      </c>
      <c r="S4">
        <f ca="1"/>
        <v>84</v>
      </c>
      <c r="T4">
        <f ca="1"/>
        <v>263</v>
      </c>
      <c r="U4">
        <f ca="1"/>
        <v>87.666666666666671</v>
      </c>
      <c r="V4">
        <f ca="1"/>
        <v>39067</v>
      </c>
      <c r="W4">
        <f ca="1"/>
        <v>19</v>
      </c>
    </row>
    <row r="5" spans="1:23">
      <c r="A5">
        <v>1004</v>
      </c>
      <c r="B5" t="s">
        <v>9</v>
      </c>
      <c r="C5" s="10">
        <v>45</v>
      </c>
      <c r="D5" s="10">
        <v>58</v>
      </c>
      <c r="E5" s="10">
        <v>51</v>
      </c>
      <c r="F5" s="10">
        <f t="shared" si="0"/>
        <v>154</v>
      </c>
      <c r="G5" s="3">
        <f t="shared" si="1"/>
        <v>51.333333333333336</v>
      </c>
      <c r="H5" s="6">
        <v>38978</v>
      </c>
      <c r="I5" s="25">
        <f t="shared" ca="1" si="2"/>
        <v>20</v>
      </c>
      <c r="J5" s="7" t="str">
        <f t="shared" si="3"/>
        <v>FAIL</v>
      </c>
      <c r="K5" s="7" t="str">
        <f t="shared" si="4"/>
        <v>NO</v>
      </c>
      <c r="O5">
        <f ca="1"/>
        <v>1010</v>
      </c>
      <c r="P5" t="str">
        <f ca="1"/>
        <v>Riya Joshi</v>
      </c>
      <c r="Q5">
        <f ca="1"/>
        <v>95</v>
      </c>
      <c r="R5">
        <f ca="1"/>
        <v>88</v>
      </c>
      <c r="S5">
        <f ca="1"/>
        <v>92</v>
      </c>
      <c r="T5">
        <f ca="1"/>
        <v>275</v>
      </c>
      <c r="U5">
        <f ca="1"/>
        <v>91.666666666666671</v>
      </c>
      <c r="V5">
        <f ca="1"/>
        <v>38938</v>
      </c>
      <c r="W5">
        <f ca="1"/>
        <v>20</v>
      </c>
    </row>
    <row r="6" spans="1:23">
      <c r="A6">
        <v>1005</v>
      </c>
      <c r="B6" t="s">
        <v>10</v>
      </c>
      <c r="C6" s="10">
        <v>81</v>
      </c>
      <c r="D6" s="10">
        <v>79</v>
      </c>
      <c r="E6" s="10">
        <v>86</v>
      </c>
      <c r="F6" s="10">
        <f t="shared" si="0"/>
        <v>246</v>
      </c>
      <c r="G6" s="3">
        <f t="shared" si="1"/>
        <v>82</v>
      </c>
      <c r="H6" s="6">
        <v>39112</v>
      </c>
      <c r="I6" s="25">
        <f t="shared" ca="1" si="2"/>
        <v>19</v>
      </c>
      <c r="J6" s="7" t="str">
        <f t="shared" si="3"/>
        <v>B</v>
      </c>
      <c r="K6" s="7" t="str">
        <f t="shared" si="4"/>
        <v>NO</v>
      </c>
      <c r="O6">
        <f ca="1"/>
        <v>1012</v>
      </c>
      <c r="P6" t="str">
        <f ca="1"/>
        <v>Kiara Patel</v>
      </c>
      <c r="Q6">
        <f ca="1"/>
        <v>84</v>
      </c>
      <c r="R6">
        <f ca="1"/>
        <v>90</v>
      </c>
      <c r="S6">
        <f ca="1"/>
        <v>87</v>
      </c>
      <c r="T6">
        <f ca="1"/>
        <v>261</v>
      </c>
      <c r="U6">
        <f ca="1"/>
        <v>87</v>
      </c>
      <c r="V6">
        <f ca="1"/>
        <v>39017</v>
      </c>
      <c r="W6">
        <f ca="1"/>
        <v>19</v>
      </c>
    </row>
    <row r="7" spans="1:23">
      <c r="A7">
        <v>1006</v>
      </c>
      <c r="B7" t="s">
        <v>11</v>
      </c>
      <c r="C7" s="10">
        <v>56</v>
      </c>
      <c r="D7" s="10">
        <v>62</v>
      </c>
      <c r="E7" s="10">
        <v>59</v>
      </c>
      <c r="F7" s="10">
        <f t="shared" si="0"/>
        <v>177</v>
      </c>
      <c r="G7" s="3">
        <f t="shared" si="1"/>
        <v>59</v>
      </c>
      <c r="H7" s="6">
        <v>38848</v>
      </c>
      <c r="I7" s="25">
        <f t="shared" ca="1" si="2"/>
        <v>20</v>
      </c>
      <c r="J7" s="7" t="str">
        <f t="shared" si="3"/>
        <v>FAIL</v>
      </c>
      <c r="K7" s="7" t="str">
        <f t="shared" si="4"/>
        <v>NO</v>
      </c>
      <c r="O7">
        <f ca="1"/>
        <v>1015</v>
      </c>
      <c r="P7" t="str">
        <f ca="1"/>
        <v>Neil Joshi</v>
      </c>
      <c r="Q7">
        <f ca="1"/>
        <v>89</v>
      </c>
      <c r="R7">
        <f ca="1"/>
        <v>93</v>
      </c>
      <c r="S7">
        <f ca="1"/>
        <v>90</v>
      </c>
      <c r="T7">
        <f ca="1"/>
        <v>272</v>
      </c>
      <c r="U7">
        <f ca="1"/>
        <v>90.666666666666671</v>
      </c>
      <c r="V7">
        <f ca="1"/>
        <v>39332</v>
      </c>
      <c r="W7">
        <f ca="1"/>
        <v>19</v>
      </c>
    </row>
    <row r="8" spans="1:23">
      <c r="A8">
        <v>1007</v>
      </c>
      <c r="B8" t="s">
        <v>12</v>
      </c>
      <c r="C8" s="10">
        <v>73</v>
      </c>
      <c r="D8" s="10">
        <v>85</v>
      </c>
      <c r="E8" s="10">
        <v>77</v>
      </c>
      <c r="F8" s="10">
        <f t="shared" si="0"/>
        <v>235</v>
      </c>
      <c r="G8" s="3">
        <f t="shared" si="1"/>
        <v>78.333333333333329</v>
      </c>
      <c r="H8" s="6">
        <v>39357</v>
      </c>
      <c r="I8" s="25">
        <f t="shared" ca="1" si="2"/>
        <v>19</v>
      </c>
      <c r="J8" s="7" t="str">
        <f t="shared" si="3"/>
        <v>C</v>
      </c>
      <c r="K8" s="7" t="str">
        <f t="shared" si="4"/>
        <v>NO</v>
      </c>
    </row>
    <row r="9" spans="1:23">
      <c r="A9">
        <v>1008</v>
      </c>
      <c r="B9" t="s">
        <v>13</v>
      </c>
      <c r="C9" s="10">
        <v>88</v>
      </c>
      <c r="D9" s="10">
        <v>91</v>
      </c>
      <c r="E9" s="10">
        <v>84</v>
      </c>
      <c r="F9" s="10">
        <f t="shared" si="0"/>
        <v>263</v>
      </c>
      <c r="G9" s="3">
        <f t="shared" si="1"/>
        <v>87.666666666666671</v>
      </c>
      <c r="H9" s="6">
        <v>39067</v>
      </c>
      <c r="I9" s="25">
        <f t="shared" ca="1" si="2"/>
        <v>19</v>
      </c>
      <c r="J9" s="7" t="str">
        <f t="shared" si="3"/>
        <v>B</v>
      </c>
      <c r="K9" s="7" t="str">
        <f t="shared" si="4"/>
        <v>YES</v>
      </c>
    </row>
    <row r="10" spans="1:23">
      <c r="A10">
        <v>1009</v>
      </c>
      <c r="B10" t="s">
        <v>14</v>
      </c>
      <c r="C10" s="10">
        <v>67</v>
      </c>
      <c r="D10" s="10">
        <v>69</v>
      </c>
      <c r="E10" s="10">
        <v>71</v>
      </c>
      <c r="F10" s="10">
        <f t="shared" si="0"/>
        <v>207</v>
      </c>
      <c r="G10" s="3">
        <f t="shared" si="1"/>
        <v>69</v>
      </c>
      <c r="H10" s="6">
        <v>39197</v>
      </c>
      <c r="I10" s="25">
        <f t="shared" ca="1" si="2"/>
        <v>19</v>
      </c>
      <c r="J10" s="7" t="str">
        <f t="shared" si="3"/>
        <v>D</v>
      </c>
      <c r="K10" s="7" t="str">
        <f t="shared" si="4"/>
        <v>NO</v>
      </c>
      <c r="M10" s="8" t="s">
        <v>151</v>
      </c>
    </row>
    <row r="11" spans="1:23">
      <c r="A11">
        <v>1010</v>
      </c>
      <c r="B11" t="s">
        <v>15</v>
      </c>
      <c r="C11" s="10">
        <v>95</v>
      </c>
      <c r="D11" s="10">
        <v>88</v>
      </c>
      <c r="E11" s="10">
        <v>92</v>
      </c>
      <c r="F11" s="10">
        <f t="shared" si="0"/>
        <v>275</v>
      </c>
      <c r="G11" s="3">
        <f t="shared" si="1"/>
        <v>91.666666666666671</v>
      </c>
      <c r="H11" s="6">
        <v>38938</v>
      </c>
      <c r="I11" s="25">
        <f t="shared" ca="1" si="2"/>
        <v>20</v>
      </c>
      <c r="J11" s="7" t="str">
        <f t="shared" si="3"/>
        <v>A</v>
      </c>
      <c r="K11" s="7" t="str">
        <f t="shared" si="4"/>
        <v>YES</v>
      </c>
      <c r="M11" s="8" t="s">
        <v>0</v>
      </c>
      <c r="N11">
        <v>1008</v>
      </c>
    </row>
    <row r="12" spans="1:23">
      <c r="A12">
        <v>1011</v>
      </c>
      <c r="B12" t="s">
        <v>16</v>
      </c>
      <c r="C12" s="10">
        <v>52</v>
      </c>
      <c r="D12" s="10">
        <v>55</v>
      </c>
      <c r="E12" s="10">
        <v>60</v>
      </c>
      <c r="F12" s="10">
        <f t="shared" si="0"/>
        <v>167</v>
      </c>
      <c r="G12" s="3">
        <f t="shared" si="1"/>
        <v>55.666666666666664</v>
      </c>
      <c r="H12" s="6">
        <v>39132</v>
      </c>
      <c r="I12" s="25">
        <f t="shared" ca="1" si="2"/>
        <v>19</v>
      </c>
      <c r="J12" s="7" t="str">
        <f t="shared" si="3"/>
        <v>FAIL</v>
      </c>
      <c r="K12" s="7" t="str">
        <f t="shared" si="4"/>
        <v>NO</v>
      </c>
      <c r="M12" s="8" t="s">
        <v>1</v>
      </c>
      <c r="N12" s="21" t="str">
        <f>VLOOKUP(N11,A2:E16,2,FALSE)</f>
        <v>Meera Mehta</v>
      </c>
    </row>
    <row r="13" spans="1:23">
      <c r="A13">
        <v>1012</v>
      </c>
      <c r="B13" t="s">
        <v>17</v>
      </c>
      <c r="C13" s="10">
        <v>84</v>
      </c>
      <c r="D13" s="10">
        <v>90</v>
      </c>
      <c r="E13" s="10">
        <v>87</v>
      </c>
      <c r="F13" s="10">
        <f t="shared" si="0"/>
        <v>261</v>
      </c>
      <c r="G13" s="3">
        <f t="shared" si="1"/>
        <v>87</v>
      </c>
      <c r="H13" s="6">
        <v>39017</v>
      </c>
      <c r="I13" s="25">
        <f t="shared" ca="1" si="2"/>
        <v>19</v>
      </c>
      <c r="J13" s="7" t="str">
        <f t="shared" si="3"/>
        <v>B</v>
      </c>
      <c r="K13" s="7" t="str">
        <f t="shared" si="4"/>
        <v>YES</v>
      </c>
    </row>
    <row r="14" spans="1:23">
      <c r="A14">
        <v>1013</v>
      </c>
      <c r="B14" t="s">
        <v>18</v>
      </c>
      <c r="C14" s="10">
        <v>61</v>
      </c>
      <c r="D14" s="10">
        <v>63</v>
      </c>
      <c r="E14" s="10">
        <v>65</v>
      </c>
      <c r="F14" s="10">
        <f t="shared" si="0"/>
        <v>189</v>
      </c>
      <c r="G14" s="3">
        <f t="shared" si="1"/>
        <v>63</v>
      </c>
      <c r="H14" s="6">
        <v>39246</v>
      </c>
      <c r="I14" s="25">
        <f t="shared" ca="1" si="2"/>
        <v>19</v>
      </c>
      <c r="J14" s="7" t="str">
        <f t="shared" si="3"/>
        <v>D</v>
      </c>
      <c r="K14" s="7" t="str">
        <f t="shared" si="4"/>
        <v>NO</v>
      </c>
    </row>
    <row r="15" spans="1:23">
      <c r="A15">
        <v>1014</v>
      </c>
      <c r="B15" t="s">
        <v>19</v>
      </c>
      <c r="C15" s="10">
        <v>76</v>
      </c>
      <c r="D15" s="10">
        <v>72</v>
      </c>
      <c r="E15" s="10">
        <v>79</v>
      </c>
      <c r="F15" s="10">
        <f t="shared" si="0"/>
        <v>227</v>
      </c>
      <c r="G15" s="3">
        <f t="shared" si="1"/>
        <v>75.666666666666671</v>
      </c>
      <c r="H15" s="6">
        <v>38807</v>
      </c>
      <c r="I15" s="25">
        <f t="shared" ca="1" si="2"/>
        <v>20</v>
      </c>
      <c r="J15" s="7" t="str">
        <f t="shared" si="3"/>
        <v>C</v>
      </c>
      <c r="K15" s="7" t="str">
        <f t="shared" si="4"/>
        <v>NO</v>
      </c>
    </row>
    <row r="16" spans="1:23">
      <c r="A16">
        <v>1015</v>
      </c>
      <c r="B16" t="s">
        <v>20</v>
      </c>
      <c r="C16" s="10">
        <v>89</v>
      </c>
      <c r="D16" s="10">
        <v>93</v>
      </c>
      <c r="E16" s="10">
        <v>90</v>
      </c>
      <c r="F16" s="10">
        <f t="shared" si="0"/>
        <v>272</v>
      </c>
      <c r="G16" s="3">
        <f t="shared" si="1"/>
        <v>90.666666666666671</v>
      </c>
      <c r="H16" s="6">
        <v>39332</v>
      </c>
      <c r="I16" s="25">
        <f t="shared" ca="1" si="2"/>
        <v>19</v>
      </c>
      <c r="J16" s="7" t="str">
        <f t="shared" si="3"/>
        <v>A</v>
      </c>
      <c r="K16" s="7" t="str">
        <f t="shared" si="4"/>
        <v>YES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K22" sqref="K22"/>
    </sheetView>
  </sheetViews>
  <sheetFormatPr defaultRowHeight="14.4"/>
  <cols>
    <col min="1" max="1" width="12.44140625" bestFit="1" customWidth="1"/>
    <col min="6" max="6" width="9.88671875" bestFit="1" customWidth="1"/>
    <col min="7" max="7" width="19.88671875" bestFit="1" customWidth="1"/>
    <col min="8" max="8" width="16.77734375" bestFit="1" customWidth="1"/>
    <col min="9" max="9" width="17.21875" bestFit="1" customWidth="1"/>
    <col min="10" max="10" width="8.88671875" style="20"/>
  </cols>
  <sheetData>
    <row r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4" t="s">
        <v>146</v>
      </c>
      <c r="H1" s="14" t="s">
        <v>148</v>
      </c>
    </row>
    <row r="2" spans="1:10">
      <c r="A2" t="s">
        <v>27</v>
      </c>
      <c r="B2" t="s">
        <v>28</v>
      </c>
      <c r="C2" t="s">
        <v>29</v>
      </c>
      <c r="D2">
        <v>72000</v>
      </c>
      <c r="E2">
        <v>12</v>
      </c>
      <c r="F2">
        <v>864000</v>
      </c>
      <c r="G2" t="str">
        <f>IF(OR(D2&gt;40000,E2&gt;30),"Discount Applied","No Discount")</f>
        <v>Discount Applied</v>
      </c>
      <c r="H2">
        <f>SUMIFS(F2:F11,C2:C11,"North",B2:B11,"Laptop")</f>
        <v>864000</v>
      </c>
    </row>
    <row r="3" spans="1:10">
      <c r="A3" t="s">
        <v>30</v>
      </c>
      <c r="B3" t="s">
        <v>31</v>
      </c>
      <c r="C3" t="s">
        <v>32</v>
      </c>
      <c r="D3">
        <v>14500</v>
      </c>
      <c r="E3">
        <v>25</v>
      </c>
      <c r="F3">
        <v>362500</v>
      </c>
      <c r="G3" t="str">
        <f>IF(OR(D3&gt;40000,E3&gt;30),"Discount Applied","No Discount")</f>
        <v>No Discount</v>
      </c>
    </row>
    <row r="4" spans="1:10">
      <c r="A4" t="s">
        <v>33</v>
      </c>
      <c r="B4" t="s">
        <v>34</v>
      </c>
      <c r="C4" t="s">
        <v>35</v>
      </c>
      <c r="D4">
        <v>2200</v>
      </c>
      <c r="E4">
        <v>48</v>
      </c>
      <c r="F4">
        <v>105600</v>
      </c>
      <c r="G4" t="str">
        <f t="shared" ref="G4:G11" si="0">IF(OR(D4&gt;40000,E4&gt;30),"Discount Applied","No Discount")</f>
        <v>Discount Applied</v>
      </c>
    </row>
    <row r="5" spans="1:10">
      <c r="A5" t="s">
        <v>36</v>
      </c>
      <c r="B5" t="s">
        <v>37</v>
      </c>
      <c r="C5" t="s">
        <v>38</v>
      </c>
      <c r="D5">
        <v>950</v>
      </c>
      <c r="E5">
        <v>75</v>
      </c>
      <c r="F5">
        <v>71250</v>
      </c>
      <c r="G5" t="str">
        <f t="shared" si="0"/>
        <v>Discount Applied</v>
      </c>
    </row>
    <row r="6" spans="1:10">
      <c r="A6" t="s">
        <v>39</v>
      </c>
      <c r="B6" t="s">
        <v>40</v>
      </c>
      <c r="C6" t="s">
        <v>29</v>
      </c>
      <c r="D6">
        <v>12500</v>
      </c>
      <c r="E6">
        <v>18</v>
      </c>
      <c r="F6">
        <v>225000</v>
      </c>
      <c r="G6" t="str">
        <f t="shared" si="0"/>
        <v>No Discount</v>
      </c>
      <c r="I6" s="14" t="s">
        <v>150</v>
      </c>
    </row>
    <row r="7" spans="1:10">
      <c r="A7" t="s">
        <v>41</v>
      </c>
      <c r="B7" t="s">
        <v>42</v>
      </c>
      <c r="C7" t="s">
        <v>32</v>
      </c>
      <c r="D7">
        <v>3200</v>
      </c>
      <c r="E7">
        <v>42</v>
      </c>
      <c r="F7">
        <v>134400</v>
      </c>
      <c r="G7" t="str">
        <f t="shared" si="0"/>
        <v>Discount Applied</v>
      </c>
      <c r="I7" t="s">
        <v>21</v>
      </c>
      <c r="J7" s="21" t="s">
        <v>39</v>
      </c>
    </row>
    <row r="8" spans="1:10">
      <c r="A8" t="s">
        <v>43</v>
      </c>
      <c r="B8" t="s">
        <v>44</v>
      </c>
      <c r="C8" t="s">
        <v>35</v>
      </c>
      <c r="D8">
        <v>4800</v>
      </c>
      <c r="E8">
        <v>31</v>
      </c>
      <c r="F8">
        <v>148800</v>
      </c>
      <c r="G8" t="str">
        <f t="shared" si="0"/>
        <v>Discount Applied</v>
      </c>
      <c r="I8" t="s">
        <v>98</v>
      </c>
      <c r="J8" s="20">
        <f>VLOOKUP(J7,A2:F11,4,FALSE)</f>
        <v>12500</v>
      </c>
    </row>
    <row r="9" spans="1:10">
      <c r="A9" t="s">
        <v>45</v>
      </c>
      <c r="B9" t="s">
        <v>46</v>
      </c>
      <c r="C9" t="s">
        <v>38</v>
      </c>
      <c r="D9">
        <v>28500</v>
      </c>
      <c r="E9">
        <v>14</v>
      </c>
      <c r="F9">
        <v>399000</v>
      </c>
      <c r="G9" t="str">
        <f t="shared" si="0"/>
        <v>No Discount</v>
      </c>
    </row>
    <row r="10" spans="1:10">
      <c r="A10" t="s">
        <v>47</v>
      </c>
      <c r="B10" t="s">
        <v>48</v>
      </c>
      <c r="C10" t="s">
        <v>29</v>
      </c>
      <c r="D10">
        <v>6500</v>
      </c>
      <c r="E10">
        <v>27</v>
      </c>
      <c r="F10">
        <v>175500</v>
      </c>
      <c r="G10" t="str">
        <f t="shared" si="0"/>
        <v>No Discount</v>
      </c>
    </row>
    <row r="11" spans="1:10">
      <c r="A11" t="s">
        <v>49</v>
      </c>
      <c r="B11" t="s">
        <v>50</v>
      </c>
      <c r="C11" t="s">
        <v>32</v>
      </c>
      <c r="D11">
        <v>4100</v>
      </c>
      <c r="E11">
        <v>39</v>
      </c>
      <c r="F11">
        <v>159900</v>
      </c>
      <c r="G11" t="str">
        <f t="shared" si="0"/>
        <v>Discount Applied</v>
      </c>
    </row>
    <row r="12" spans="1:10">
      <c r="I12" t="s">
        <v>154</v>
      </c>
    </row>
    <row r="13" spans="1:10">
      <c r="I13" t="s">
        <v>155</v>
      </c>
      <c r="J13" s="20" t="s">
        <v>48</v>
      </c>
    </row>
    <row r="14" spans="1:10">
      <c r="I14" t="s">
        <v>156</v>
      </c>
      <c r="J14" s="20">
        <f>_xlfn.XMATCH(J13,B2:B11,0)</f>
        <v>9</v>
      </c>
    </row>
    <row r="16" spans="1:10">
      <c r="I16" t="s">
        <v>172</v>
      </c>
    </row>
    <row r="17" spans="9:10">
      <c r="I17" t="s">
        <v>173</v>
      </c>
      <c r="J17" s="20">
        <f>ROUND(D2,-2)</f>
        <v>72000</v>
      </c>
    </row>
    <row r="18" spans="9:10">
      <c r="I18" t="s">
        <v>174</v>
      </c>
      <c r="J18" s="20">
        <f>CEILING(D2,1000)</f>
        <v>72000</v>
      </c>
    </row>
    <row r="19" spans="9:10">
      <c r="I19" t="s">
        <v>175</v>
      </c>
      <c r="J19" s="20">
        <f>FLOOR(D2,1000)</f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F2" sqref="F2:F11"/>
    </sheetView>
  </sheetViews>
  <sheetFormatPr defaultRowHeight="14.4"/>
  <cols>
    <col min="1" max="1" width="11.5546875" bestFit="1" customWidth="1"/>
    <col min="2" max="2" width="14.88671875" bestFit="1" customWidth="1"/>
    <col min="3" max="3" width="11.109375" bestFit="1" customWidth="1"/>
    <col min="4" max="4" width="10.44140625" style="19" bestFit="1" customWidth="1"/>
    <col min="5" max="5" width="18.109375" style="4" bestFit="1" customWidth="1"/>
    <col min="6" max="6" width="15.6640625" bestFit="1" customWidth="1"/>
    <col min="7" max="7" width="18.5546875" bestFit="1" customWidth="1"/>
    <col min="8" max="8" width="8.88671875" style="20"/>
  </cols>
  <sheetData>
    <row r="1" spans="1:8">
      <c r="A1" s="1" t="s">
        <v>51</v>
      </c>
      <c r="B1" s="1" t="s">
        <v>52</v>
      </c>
      <c r="C1" s="1" t="s">
        <v>53</v>
      </c>
      <c r="D1" s="18" t="s">
        <v>54</v>
      </c>
      <c r="E1" s="26" t="s">
        <v>55</v>
      </c>
      <c r="F1" s="1" t="s">
        <v>171</v>
      </c>
      <c r="G1" s="17" t="s">
        <v>152</v>
      </c>
    </row>
    <row r="2" spans="1:8">
      <c r="A2" t="s">
        <v>56</v>
      </c>
      <c r="B2" t="s">
        <v>57</v>
      </c>
      <c r="C2" t="s">
        <v>58</v>
      </c>
      <c r="D2" s="19">
        <v>52000</v>
      </c>
      <c r="E2" s="4">
        <v>44298</v>
      </c>
      <c r="F2">
        <f ca="1">TODAY()-E2</f>
        <v>1999</v>
      </c>
      <c r="G2" t="s">
        <v>51</v>
      </c>
      <c r="H2" s="20" t="s">
        <v>72</v>
      </c>
    </row>
    <row r="3" spans="1:8">
      <c r="A3" t="s">
        <v>59</v>
      </c>
      <c r="B3" t="s">
        <v>60</v>
      </c>
      <c r="C3" t="s">
        <v>61</v>
      </c>
      <c r="D3" s="19">
        <v>48000</v>
      </c>
      <c r="E3" s="4">
        <v>44760</v>
      </c>
      <c r="F3">
        <f t="shared" ref="F3:F11" ca="1" si="0">TODAY()-E3</f>
        <v>1537</v>
      </c>
      <c r="G3" t="s">
        <v>153</v>
      </c>
      <c r="H3" s="24">
        <f>_xlfn.XLOOKUP(H2,A2:A11,D2:D11)</f>
        <v>76000</v>
      </c>
    </row>
    <row r="4" spans="1:8">
      <c r="A4" t="s">
        <v>62</v>
      </c>
      <c r="B4" t="s">
        <v>63</v>
      </c>
      <c r="C4" t="s">
        <v>58</v>
      </c>
      <c r="D4" s="19">
        <v>61000</v>
      </c>
      <c r="E4" s="4">
        <v>44140</v>
      </c>
      <c r="F4">
        <f t="shared" ca="1" si="0"/>
        <v>2157</v>
      </c>
    </row>
    <row r="5" spans="1:8">
      <c r="A5" t="s">
        <v>64</v>
      </c>
      <c r="B5" t="s">
        <v>65</v>
      </c>
      <c r="C5" t="s">
        <v>66</v>
      </c>
      <c r="D5" s="19">
        <v>72000</v>
      </c>
      <c r="E5" s="4">
        <v>43521</v>
      </c>
      <c r="F5">
        <f t="shared" ca="1" si="0"/>
        <v>2776</v>
      </c>
    </row>
    <row r="6" spans="1:8">
      <c r="A6" t="s">
        <v>67</v>
      </c>
      <c r="B6" t="s">
        <v>68</v>
      </c>
      <c r="C6" t="s">
        <v>69</v>
      </c>
      <c r="D6" s="19">
        <v>68000</v>
      </c>
      <c r="E6" s="4">
        <v>44452</v>
      </c>
      <c r="F6">
        <f t="shared" ca="1" si="0"/>
        <v>1845</v>
      </c>
    </row>
    <row r="7" spans="1:8">
      <c r="A7" t="s">
        <v>70</v>
      </c>
      <c r="B7" t="s">
        <v>71</v>
      </c>
      <c r="C7" t="s">
        <v>58</v>
      </c>
      <c r="D7" s="19">
        <v>57500</v>
      </c>
      <c r="E7" s="4">
        <v>44935</v>
      </c>
      <c r="F7">
        <f t="shared" ca="1" si="0"/>
        <v>1362</v>
      </c>
    </row>
    <row r="8" spans="1:8">
      <c r="A8" t="s">
        <v>72</v>
      </c>
      <c r="B8" t="s">
        <v>73</v>
      </c>
      <c r="C8" t="s">
        <v>66</v>
      </c>
      <c r="D8" s="19">
        <v>76000</v>
      </c>
      <c r="E8" s="4">
        <v>43272</v>
      </c>
      <c r="F8">
        <f t="shared" ca="1" si="0"/>
        <v>3025</v>
      </c>
    </row>
    <row r="9" spans="1:8">
      <c r="A9" t="s">
        <v>74</v>
      </c>
      <c r="B9" t="s">
        <v>75</v>
      </c>
      <c r="C9" t="s">
        <v>61</v>
      </c>
      <c r="D9" s="19">
        <v>50500</v>
      </c>
      <c r="E9" s="4">
        <v>44634</v>
      </c>
      <c r="F9">
        <f t="shared" ca="1" si="0"/>
        <v>1663</v>
      </c>
    </row>
    <row r="10" spans="1:8">
      <c r="A10" t="s">
        <v>76</v>
      </c>
      <c r="B10" t="s">
        <v>77</v>
      </c>
      <c r="C10" t="s">
        <v>69</v>
      </c>
      <c r="D10" s="19">
        <v>64500</v>
      </c>
      <c r="E10" s="4">
        <v>44060</v>
      </c>
      <c r="F10">
        <f t="shared" ca="1" si="0"/>
        <v>2237</v>
      </c>
    </row>
    <row r="11" spans="1:8">
      <c r="A11" t="s">
        <v>78</v>
      </c>
      <c r="B11" t="s">
        <v>79</v>
      </c>
      <c r="C11" t="s">
        <v>58</v>
      </c>
      <c r="D11" s="19">
        <v>59000</v>
      </c>
      <c r="E11" s="4">
        <v>45082</v>
      </c>
      <c r="F11">
        <f t="shared" ca="1" si="0"/>
        <v>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selection activeCell="J10" sqref="J10"/>
    </sheetView>
  </sheetViews>
  <sheetFormatPr defaultRowHeight="14.4"/>
  <cols>
    <col min="1" max="1" width="11" bestFit="1" customWidth="1"/>
    <col min="2" max="7" width="9.33203125" bestFit="1" customWidth="1"/>
    <col min="9" max="9" width="19.88671875" bestFit="1" customWidth="1"/>
    <col min="10" max="10" width="9.33203125" style="7" bestFit="1" customWidth="1"/>
  </cols>
  <sheetData>
    <row r="1" spans="1:10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I1" t="s">
        <v>157</v>
      </c>
    </row>
    <row r="2" spans="1:10">
      <c r="A2" t="s">
        <v>87</v>
      </c>
      <c r="B2" s="19">
        <v>125000</v>
      </c>
      <c r="C2" s="19">
        <v>132000</v>
      </c>
      <c r="D2" s="19">
        <v>141000</v>
      </c>
      <c r="E2" s="19">
        <v>137000</v>
      </c>
      <c r="F2" s="19">
        <v>149000</v>
      </c>
      <c r="G2" s="19">
        <v>155000</v>
      </c>
      <c r="I2" t="s">
        <v>80</v>
      </c>
      <c r="J2" s="7" t="s">
        <v>89</v>
      </c>
    </row>
    <row r="3" spans="1:10">
      <c r="A3" t="s">
        <v>88</v>
      </c>
      <c r="B3" s="19">
        <v>98000</v>
      </c>
      <c r="C3" s="19">
        <v>105000</v>
      </c>
      <c r="D3" s="19">
        <v>110000</v>
      </c>
      <c r="E3" s="19">
        <v>108000</v>
      </c>
      <c r="F3" s="19">
        <v>116000</v>
      </c>
      <c r="G3" s="19">
        <v>121000</v>
      </c>
      <c r="I3" t="s">
        <v>158</v>
      </c>
      <c r="J3" s="7" t="s">
        <v>159</v>
      </c>
    </row>
    <row r="4" spans="1:10">
      <c r="A4" t="s">
        <v>89</v>
      </c>
      <c r="B4" s="19">
        <v>113000</v>
      </c>
      <c r="C4" s="19">
        <v>118000</v>
      </c>
      <c r="D4" s="19">
        <v>124000</v>
      </c>
      <c r="E4" s="19">
        <v>129000</v>
      </c>
      <c r="F4" s="19">
        <v>133000</v>
      </c>
      <c r="G4" s="19">
        <v>140000</v>
      </c>
      <c r="I4" t="s">
        <v>80</v>
      </c>
      <c r="J4" s="23">
        <f>INDEX(B2:G11,MATCH(J2,A2:A11,0),MATCH(J3,B1:G1,0))</f>
        <v>133000</v>
      </c>
    </row>
    <row r="5" spans="1:10">
      <c r="A5" t="s">
        <v>90</v>
      </c>
      <c r="B5" s="19">
        <v>87000</v>
      </c>
      <c r="C5" s="19">
        <v>91000</v>
      </c>
      <c r="D5" s="19">
        <v>96000</v>
      </c>
      <c r="E5" s="19">
        <v>102000</v>
      </c>
      <c r="F5" s="19">
        <v>109000</v>
      </c>
      <c r="G5" s="19">
        <v>113000</v>
      </c>
    </row>
    <row r="6" spans="1:10">
      <c r="A6" t="s">
        <v>91</v>
      </c>
      <c r="B6" s="19">
        <v>104000</v>
      </c>
      <c r="C6" s="19">
        <v>109000</v>
      </c>
      <c r="D6" s="19">
        <v>116000</v>
      </c>
      <c r="E6" s="19">
        <v>120000</v>
      </c>
      <c r="F6" s="19">
        <v>128000</v>
      </c>
      <c r="G6" s="19">
        <v>135000</v>
      </c>
    </row>
    <row r="7" spans="1:10">
      <c r="A7" t="s">
        <v>92</v>
      </c>
      <c r="B7" s="19">
        <v>92000</v>
      </c>
      <c r="C7" s="19">
        <v>99000</v>
      </c>
      <c r="D7" s="19">
        <v>101000</v>
      </c>
      <c r="E7" s="19">
        <v>106000</v>
      </c>
      <c r="F7" s="19">
        <v>111000</v>
      </c>
      <c r="G7" s="19">
        <v>118000</v>
      </c>
    </row>
    <row r="8" spans="1:10">
      <c r="A8" t="s">
        <v>93</v>
      </c>
      <c r="B8" s="19">
        <v>121000</v>
      </c>
      <c r="C8" s="19">
        <v>127000</v>
      </c>
      <c r="D8" s="19">
        <v>135000</v>
      </c>
      <c r="E8" s="19">
        <v>139000</v>
      </c>
      <c r="F8" s="19">
        <v>146000</v>
      </c>
      <c r="G8" s="19">
        <v>152000</v>
      </c>
      <c r="I8" t="s">
        <v>167</v>
      </c>
    </row>
    <row r="9" spans="1:10">
      <c r="A9" t="s">
        <v>94</v>
      </c>
      <c r="B9" s="19">
        <v>89000</v>
      </c>
      <c r="C9" s="19">
        <v>95000</v>
      </c>
      <c r="D9" s="19">
        <v>99000</v>
      </c>
      <c r="E9" s="19">
        <v>103000</v>
      </c>
      <c r="F9" s="19">
        <v>108000</v>
      </c>
      <c r="G9" s="19">
        <v>114000</v>
      </c>
      <c r="I9" t="s">
        <v>168</v>
      </c>
      <c r="J9" s="7" t="s">
        <v>166</v>
      </c>
    </row>
    <row r="10" spans="1:10">
      <c r="A10" t="s">
        <v>95</v>
      </c>
      <c r="B10" s="19">
        <v>110000</v>
      </c>
      <c r="C10" s="19">
        <v>115000</v>
      </c>
      <c r="D10" s="19">
        <v>121000</v>
      </c>
      <c r="E10" s="19">
        <v>126000</v>
      </c>
      <c r="F10" s="19">
        <v>131000</v>
      </c>
      <c r="G10" s="19">
        <v>138000</v>
      </c>
      <c r="I10" s="22" t="s">
        <v>169</v>
      </c>
      <c r="J10" s="23">
        <f ca="1">SUM(OFFSET(B2,0,0,1,3))</f>
        <v>398000</v>
      </c>
    </row>
    <row r="11" spans="1:10">
      <c r="A11" t="s">
        <v>96</v>
      </c>
      <c r="B11" s="19">
        <v>97000</v>
      </c>
      <c r="C11" s="19">
        <v>102000</v>
      </c>
      <c r="D11" s="19">
        <v>108000</v>
      </c>
      <c r="E11" s="19">
        <v>112000</v>
      </c>
      <c r="F11" s="19">
        <v>119000</v>
      </c>
      <c r="G11" s="19">
        <v>125000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F34" sqref="F34"/>
    </sheetView>
  </sheetViews>
  <sheetFormatPr defaultRowHeight="14.4"/>
  <cols>
    <col min="1" max="1" width="9.88671875" bestFit="1" customWidth="1"/>
    <col min="2" max="2" width="5.6640625" bestFit="1" customWidth="1"/>
    <col min="3" max="3" width="12.21875" bestFit="1" customWidth="1"/>
    <col min="4" max="4" width="10.21875" bestFit="1" customWidth="1"/>
    <col min="5" max="5" width="12.109375" bestFit="1" customWidth="1"/>
    <col min="6" max="6" width="9.88671875" bestFit="1" customWidth="1"/>
    <col min="7" max="7" width="15.44140625" bestFit="1" customWidth="1"/>
    <col min="8" max="8" width="15.5546875" bestFit="1" customWidth="1"/>
    <col min="10" max="10" width="16" bestFit="1" customWidth="1"/>
    <col min="11" max="11" width="8.88671875" style="13"/>
  </cols>
  <sheetData>
    <row r="1" spans="1:11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4" t="s">
        <v>160</v>
      </c>
      <c r="G1" s="14" t="s">
        <v>161</v>
      </c>
      <c r="H1" s="14" t="s">
        <v>162</v>
      </c>
      <c r="J1" t="s">
        <v>163</v>
      </c>
    </row>
    <row r="2" spans="1:11">
      <c r="A2">
        <v>1001</v>
      </c>
      <c r="B2">
        <v>45</v>
      </c>
      <c r="C2">
        <v>450</v>
      </c>
      <c r="D2">
        <v>0.05</v>
      </c>
      <c r="E2" t="s">
        <v>6</v>
      </c>
      <c r="F2" t="str">
        <f>LEFT(E2,FIND(" ",E2)-1)</f>
        <v>Aarav</v>
      </c>
      <c r="G2" t="str">
        <f>UPPER(E2)</f>
        <v>AARAV SHAH</v>
      </c>
      <c r="H2" t="str">
        <f>LOWER(E2)</f>
        <v>aarav shah</v>
      </c>
      <c r="J2" t="s">
        <v>164</v>
      </c>
      <c r="K2" s="13" t="s">
        <v>166</v>
      </c>
    </row>
    <row r="3" spans="1:11">
      <c r="A3">
        <v>1002</v>
      </c>
      <c r="B3">
        <v>58</v>
      </c>
      <c r="C3">
        <v>850</v>
      </c>
      <c r="D3">
        <v>0.05</v>
      </c>
      <c r="E3" t="s">
        <v>7</v>
      </c>
      <c r="F3" t="str">
        <f t="shared" ref="F3:F11" si="0">LEFT(E3,FIND(" ",E3)-1)</f>
        <v>Diya</v>
      </c>
      <c r="G3" t="str">
        <f t="shared" ref="G3:G11" si="1">UPPER(E3)</f>
        <v>DIYA PATEL</v>
      </c>
      <c r="H3" t="str">
        <f t="shared" ref="H3:H11" si="2">LOWER(E3)</f>
        <v>diya patel</v>
      </c>
      <c r="J3" s="22" t="s">
        <v>165</v>
      </c>
      <c r="K3" s="13" cm="1">
        <f t="array" aca="1" ref="K3" ca="1">INDIRECT(K2)</f>
        <v>45</v>
      </c>
    </row>
    <row r="4" spans="1:11">
      <c r="A4">
        <v>1003</v>
      </c>
      <c r="B4">
        <v>67</v>
      </c>
      <c r="C4">
        <v>1250</v>
      </c>
      <c r="D4">
        <v>0.1</v>
      </c>
      <c r="E4" t="s">
        <v>8</v>
      </c>
      <c r="F4" t="str">
        <f t="shared" si="0"/>
        <v>Rohan</v>
      </c>
      <c r="G4" t="str">
        <f t="shared" si="1"/>
        <v>ROHAN MEHTA</v>
      </c>
      <c r="H4" t="str">
        <f t="shared" si="2"/>
        <v>rohan mehta</v>
      </c>
    </row>
    <row r="5" spans="1:11">
      <c r="A5">
        <v>1004</v>
      </c>
      <c r="B5">
        <v>72</v>
      </c>
      <c r="C5">
        <v>2200</v>
      </c>
      <c r="D5">
        <v>0.1</v>
      </c>
      <c r="E5" t="s">
        <v>9</v>
      </c>
      <c r="F5" t="str">
        <f t="shared" si="0"/>
        <v>Anaya</v>
      </c>
      <c r="G5" t="str">
        <f t="shared" si="1"/>
        <v>ANAYA DESAI</v>
      </c>
      <c r="H5" t="str">
        <f t="shared" si="2"/>
        <v>anaya desai</v>
      </c>
    </row>
    <row r="6" spans="1:11">
      <c r="A6">
        <v>1005</v>
      </c>
      <c r="B6">
        <v>81</v>
      </c>
      <c r="C6">
        <v>3200</v>
      </c>
      <c r="D6">
        <v>0.15</v>
      </c>
      <c r="E6" t="s">
        <v>10</v>
      </c>
      <c r="F6" t="str">
        <f t="shared" si="0"/>
        <v>Kabir</v>
      </c>
      <c r="G6" t="str">
        <f t="shared" si="1"/>
        <v>KABIR JOSHI</v>
      </c>
      <c r="H6" t="str">
        <f t="shared" si="2"/>
        <v>kabir joshi</v>
      </c>
    </row>
    <row r="7" spans="1:11">
      <c r="A7">
        <v>1006</v>
      </c>
      <c r="B7">
        <v>86</v>
      </c>
      <c r="C7">
        <v>4800</v>
      </c>
      <c r="D7">
        <v>0.15</v>
      </c>
      <c r="E7" t="s">
        <v>11</v>
      </c>
      <c r="F7" t="str">
        <f t="shared" si="0"/>
        <v>Ishita</v>
      </c>
      <c r="G7" t="str">
        <f t="shared" si="1"/>
        <v>ISHITA SHAH</v>
      </c>
      <c r="H7" t="str">
        <f t="shared" si="2"/>
        <v>ishita shah</v>
      </c>
    </row>
    <row r="8" spans="1:11">
      <c r="A8">
        <v>1007</v>
      </c>
      <c r="B8">
        <v>93</v>
      </c>
      <c r="C8">
        <v>6500</v>
      </c>
      <c r="D8">
        <v>0.2</v>
      </c>
      <c r="E8" t="s">
        <v>12</v>
      </c>
      <c r="F8" t="str">
        <f t="shared" si="0"/>
        <v>Vivaan</v>
      </c>
      <c r="G8" t="str">
        <f t="shared" si="1"/>
        <v>VIVAAN PATEL</v>
      </c>
      <c r="H8" t="str">
        <f t="shared" si="2"/>
        <v>vivaan patel</v>
      </c>
    </row>
    <row r="9" spans="1:11">
      <c r="A9">
        <v>1008</v>
      </c>
      <c r="B9">
        <v>52</v>
      </c>
      <c r="C9">
        <v>9500</v>
      </c>
      <c r="D9">
        <v>0.2</v>
      </c>
      <c r="E9" t="s">
        <v>13</v>
      </c>
      <c r="F9" t="str">
        <f t="shared" si="0"/>
        <v>Meera</v>
      </c>
      <c r="G9" t="str">
        <f t="shared" si="1"/>
        <v>MEERA MEHTA</v>
      </c>
      <c r="H9" t="str">
        <f t="shared" si="2"/>
        <v>meera mehta</v>
      </c>
    </row>
    <row r="10" spans="1:11">
      <c r="A10">
        <v>1009</v>
      </c>
      <c r="B10">
        <v>64</v>
      </c>
      <c r="C10">
        <v>12500</v>
      </c>
      <c r="D10">
        <v>0.25</v>
      </c>
      <c r="E10" t="s">
        <v>14</v>
      </c>
      <c r="F10" t="str">
        <f t="shared" si="0"/>
        <v>Arjun</v>
      </c>
      <c r="G10" t="str">
        <f t="shared" si="1"/>
        <v>ARJUN DESAI</v>
      </c>
      <c r="H10" t="str">
        <f t="shared" si="2"/>
        <v>arjun desai</v>
      </c>
    </row>
    <row r="11" spans="1:11">
      <c r="A11">
        <v>1010</v>
      </c>
      <c r="B11">
        <v>79</v>
      </c>
      <c r="C11">
        <v>18000</v>
      </c>
      <c r="D11">
        <v>0.25</v>
      </c>
      <c r="E11" t="s">
        <v>15</v>
      </c>
      <c r="F11" t="str">
        <f t="shared" si="0"/>
        <v>Riya</v>
      </c>
      <c r="G11" t="str">
        <f t="shared" si="1"/>
        <v>RIYA JOSHI</v>
      </c>
      <c r="H11" t="str">
        <f t="shared" si="2"/>
        <v>riya joshi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tabSelected="1" workbookViewId="0">
      <selection activeCell="D8" sqref="D8"/>
    </sheetView>
  </sheetViews>
  <sheetFormatPr defaultRowHeight="14.4"/>
  <cols>
    <col min="1" max="1" width="13.6640625" bestFit="1" customWidth="1"/>
    <col min="2" max="2" width="24.21875" bestFit="1" customWidth="1"/>
    <col min="3" max="3" width="39.5546875" bestFit="1" customWidth="1"/>
    <col min="4" max="4" width="24.21875" bestFit="1" customWidth="1"/>
  </cols>
  <sheetData>
    <row r="1" spans="1:4">
      <c r="A1" s="1" t="s">
        <v>101</v>
      </c>
      <c r="B1" s="1" t="s">
        <v>102</v>
      </c>
      <c r="C1" s="1" t="s">
        <v>103</v>
      </c>
      <c r="D1" s="14" t="s">
        <v>177</v>
      </c>
    </row>
    <row r="2" spans="1:4">
      <c r="A2" t="s">
        <v>104</v>
      </c>
      <c r="B2" t="s">
        <v>105</v>
      </c>
      <c r="C2" t="s">
        <v>106</v>
      </c>
      <c r="D2" t="s">
        <v>105</v>
      </c>
    </row>
    <row r="3" spans="1:4">
      <c r="A3" t="s">
        <v>107</v>
      </c>
      <c r="B3" t="s">
        <v>108</v>
      </c>
      <c r="C3" t="s">
        <v>109</v>
      </c>
      <c r="D3" t="s">
        <v>108</v>
      </c>
    </row>
    <row r="4" spans="1:4">
      <c r="A4" t="s">
        <v>110</v>
      </c>
      <c r="B4" t="s">
        <v>111</v>
      </c>
      <c r="C4" t="s">
        <v>112</v>
      </c>
      <c r="D4" t="s">
        <v>111</v>
      </c>
    </row>
    <row r="5" spans="1:4">
      <c r="A5" t="s">
        <v>113</v>
      </c>
      <c r="B5" t="s">
        <v>114</v>
      </c>
      <c r="C5" t="s">
        <v>115</v>
      </c>
      <c r="D5" t="s">
        <v>114</v>
      </c>
    </row>
    <row r="6" spans="1:4">
      <c r="A6" t="s">
        <v>116</v>
      </c>
      <c r="B6" t="s">
        <v>111</v>
      </c>
      <c r="C6" t="s">
        <v>117</v>
      </c>
      <c r="D6" t="s">
        <v>111</v>
      </c>
    </row>
    <row r="7" spans="1:4">
      <c r="A7" t="s">
        <v>118</v>
      </c>
      <c r="B7" t="s">
        <v>108</v>
      </c>
      <c r="C7" t="s">
        <v>119</v>
      </c>
      <c r="D7" t="s">
        <v>108</v>
      </c>
    </row>
    <row r="8" spans="1:4">
      <c r="A8" t="s">
        <v>120</v>
      </c>
      <c r="B8" t="s">
        <v>121</v>
      </c>
      <c r="C8" t="s">
        <v>122</v>
      </c>
      <c r="D8" t="s">
        <v>121</v>
      </c>
    </row>
    <row r="9" spans="1:4">
      <c r="A9" t="s">
        <v>123</v>
      </c>
      <c r="B9" t="s">
        <v>114</v>
      </c>
      <c r="C9" t="s">
        <v>124</v>
      </c>
      <c r="D9" t="s">
        <v>114</v>
      </c>
    </row>
    <row r="10" spans="1:4">
      <c r="A10" t="s">
        <v>125</v>
      </c>
      <c r="B10" t="s">
        <v>126</v>
      </c>
      <c r="C10" t="s">
        <v>127</v>
      </c>
      <c r="D10" t="s">
        <v>126</v>
      </c>
    </row>
    <row r="11" spans="1:4">
      <c r="A11" t="s">
        <v>128</v>
      </c>
      <c r="B11" t="s">
        <v>129</v>
      </c>
      <c r="C11" t="s">
        <v>130</v>
      </c>
      <c r="D11" t="s">
        <v>129</v>
      </c>
    </row>
    <row r="12" spans="1:4">
      <c r="A12" t="s">
        <v>131</v>
      </c>
      <c r="B12" t="s">
        <v>129</v>
      </c>
      <c r="C12" t="s">
        <v>132</v>
      </c>
      <c r="D12" t="s">
        <v>129</v>
      </c>
    </row>
    <row r="13" spans="1:4">
      <c r="A13" t="s">
        <v>133</v>
      </c>
      <c r="B13" t="s">
        <v>126</v>
      </c>
      <c r="C13" t="s">
        <v>134</v>
      </c>
      <c r="D13" t="s">
        <v>126</v>
      </c>
    </row>
    <row r="14" spans="1:4">
      <c r="A14" t="s">
        <v>135</v>
      </c>
      <c r="B14" t="s">
        <v>136</v>
      </c>
      <c r="C14" t="s">
        <v>137</v>
      </c>
      <c r="D14" t="s">
        <v>136</v>
      </c>
    </row>
    <row r="15" spans="1:4">
      <c r="A15" t="s">
        <v>138</v>
      </c>
      <c r="B15" t="s">
        <v>114</v>
      </c>
      <c r="C15" t="s">
        <v>139</v>
      </c>
      <c r="D15" t="s">
        <v>114</v>
      </c>
    </row>
    <row r="16" spans="1:4">
      <c r="A16" t="s">
        <v>140</v>
      </c>
      <c r="B16" t="s">
        <v>111</v>
      </c>
      <c r="C16" t="s">
        <v>141</v>
      </c>
      <c r="D16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Products_Sales</vt:lpstr>
      <vt:lpstr>Employees</vt:lpstr>
      <vt:lpstr>Monthly_Sales</vt:lpstr>
      <vt:lpstr>Formula_Practice</vt:lpstr>
      <vt:lpstr>Project_Guide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dinkesh jain</cp:lastModifiedBy>
  <dcterms:created xsi:type="dcterms:W3CDTF">2026-10-02T10:05:40Z</dcterms:created>
  <dcterms:modified xsi:type="dcterms:W3CDTF">2026-10-02T11:37:25Z</dcterms:modified>
</cp:coreProperties>
</file>